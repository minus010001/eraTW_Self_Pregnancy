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<sst xmlns="http://schemas.openxmlformats.org/spreadsheetml/2006/main" count="134" uniqueCount="89">
  <si>
    <t>当前属性上限</t>
  </si>
  <si>
    <t>体力</t>
  </si>
  <si>
    <t>气力</t>
  </si>
  <si>
    <t>酒气</t>
  </si>
  <si>
    <t>精力</t>
  </si>
  <si>
    <t>TSP</t>
  </si>
  <si>
    <t>词条</t>
  </si>
  <si>
    <t>来源</t>
  </si>
  <si>
    <t>提升类型（上限)</t>
  </si>
  <si>
    <t>提升数值（永久）</t>
  </si>
  <si>
    <t>提升数值（暂时）</t>
  </si>
  <si>
    <t>缘起物</t>
  </si>
  <si>
    <t>1.特定节日的料理
2.如果料理包含缘起物，则母亲的味道会额外增加一个</t>
  </si>
  <si>
    <t>/个</t>
  </si>
  <si>
    <t>台风炸丸子</t>
  </si>
  <si>
    <t>台风天制作炸丸子</t>
  </si>
  <si>
    <t>伊奘诺</t>
  </si>
  <si>
    <t>TSLv达到6/10时，会获得1/2个伊奘诺属性词条</t>
  </si>
  <si>
    <t>生命力</t>
  </si>
  <si>
    <t>1.妖精、蓬莱人为自己或者助手时
2.某些特殊料理（莉莉白、拉尔瓦、成美、舞）</t>
  </si>
  <si>
    <t>魔力</t>
  </si>
  <si>
    <t>1.TSLv达到1/4/7/10时，料理获得1/2/3/4个魔力词条
2.魔法使为自身或助手时，料理获得1个魔力词条</t>
  </si>
  <si>
    <t>机能的</t>
  </si>
  <si>
    <t>1.某些料理，如卡路里棒
2.如果料理包含“机能的”，则“外界风”（外界人种族料理特性）词条、“化学的”词条会额外增加1个“机能的”</t>
  </si>
  <si>
    <t>药效</t>
  </si>
  <si>
    <t>1.某些角色的助手属性（永琳、麟）
2.某些料理（如蛇羹、水煮蝗虫）
3.自己或助手调和达到6/8级时，增加1/2个药效词条</t>
  </si>
  <si>
    <t>健康</t>
  </si>
  <si>
    <t>1.某些料理（如奶酪番茄沙拉）
2.逆转词条可以把（垃圾/健康）互换；
3.女仆流、化学的词条会给拥有健康词条的料理额外加一条词条；
4.稗田家的秘传风味会给有健康词条的额外加3条健康词条</t>
  </si>
  <si>
    <t>体力/气力较少的那个</t>
  </si>
  <si>
    <t>药膳</t>
  </si>
  <si>
    <t>1.某些特殊料理，如求聞雑燴粥（阿求的特殊料理）</t>
  </si>
  <si>
    <t>鬼之魔力</t>
  </si>
  <si>
    <t>1.鬼种族为自身或者助手时
2.某些人的特殊料理（华扇、萃香、影华扇）</t>
  </si>
  <si>
    <t>血之魔力</t>
  </si>
  <si>
    <t>1.吸血鬼种族为自身或者助手时，或者天火人血枪为助手时
2.某些人的特殊料理（蕾米莉亚、芙兰朵露）</t>
  </si>
  <si>
    <t>清醒</t>
  </si>
  <si>
    <t>兴奋剂高汤独有</t>
  </si>
  <si>
    <t>清醒剂效果</t>
  </si>
  <si>
    <t>+180</t>
  </si>
  <si>
    <t>分钟</t>
  </si>
  <si>
    <t>仙桃</t>
  </si>
  <si>
    <t>用对应食材作为料理材料</t>
  </si>
  <si>
    <t>龙之爪</t>
  </si>
  <si>
    <t>龙骨</t>
  </si>
  <si>
    <t>龙血</t>
  </si>
  <si>
    <t>彷徨灵魂</t>
  </si>
  <si>
    <t>暗黑物质</t>
  </si>
  <si>
    <t>奇迹</t>
  </si>
  <si>
    <t>1.早苗为助手时
2.TSLv达到9</t>
  </si>
  <si>
    <t>今日运势、幸运补正</t>
  </si>
  <si>
    <t>补正最高到5
运势不到450补到500，然后每再吃一个加50</t>
  </si>
  <si>
    <t>当达到半神后（TSLv&gt;5时）会有更高加成</t>
  </si>
  <si>
    <t>幸运</t>
  </si>
  <si>
    <t>1.因幡帝、寅丸星、绵月丰姬、戎璎花、吉吊八千慧、豪德寺三花为助手时
2.某些特殊料理（灵梦、魅魔、帝、丰姬）
3.TSLv达到6</t>
  </si>
  <si>
    <t>补正最高到3
运势不到250补到300，然后每再吃一个加25</t>
  </si>
  <si>
    <t>料理</t>
  </si>
  <si>
    <t>时间</t>
  </si>
  <si>
    <t>特殊料理</t>
  </si>
  <si>
    <t>雷粔籹</t>
  </si>
  <si>
    <t>暴风雨天气</t>
  </si>
  <si>
    <t>苏我屠自古</t>
  </si>
  <si>
    <t>年节菜</t>
  </si>
  <si>
    <t>春1-春3</t>
  </si>
  <si>
    <t>雏霰</t>
  </si>
  <si>
    <t>春3</t>
  </si>
  <si>
    <t>键山雏</t>
  </si>
  <si>
    <t>七草汤</t>
  </si>
  <si>
    <t>春7</t>
  </si>
  <si>
    <t>七夕奶油汤面</t>
  </si>
  <si>
    <t>夏7</t>
  </si>
  <si>
    <t>丁田礼舞</t>
  </si>
  <si>
    <t>馒饼</t>
  </si>
  <si>
    <t>夏14、秋15</t>
  </si>
  <si>
    <t>泄矢诹访子</t>
  </si>
  <si>
    <t>鳗鱼饭</t>
  </si>
  <si>
    <t>夏25</t>
  </si>
  <si>
    <t>万圣节蛋糕</t>
  </si>
  <si>
    <t>秋10</t>
  </si>
  <si>
    <t>团子</t>
  </si>
  <si>
    <t>秋15</t>
  </si>
  <si>
    <t>满月乌冬面</t>
  </si>
  <si>
    <t>上白泽慧音</t>
  </si>
  <si>
    <t>江户卷</t>
  </si>
  <si>
    <t>冬3</t>
  </si>
  <si>
    <t>烤鸡</t>
  </si>
  <si>
    <t>冬24-25</t>
  </si>
  <si>
    <t>圣诞蛋糕</t>
  </si>
  <si>
    <t>跨年荞麦面</t>
  </si>
  <si>
    <t>冬31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</si>
</sst>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3" applyNumberFormat="0" applyAlignment="0" applyProtection="0">
      <alignment vertical="center"/>
    </xf>
    <xf numFmtId="0" fontId="10" fillId="4" borderId="14" applyNumberFormat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5" applyNumberFormat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right" vertical="center"/>
    </xf>
    <xf numFmtId="176" fontId="0" fillId="0" borderId="0" xfId="0" applyNumberFormat="1" applyAlignment="1">
      <alignment horizontal="left"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0" borderId="1" xfId="0" applyBorder="1" applyAlignment="1">
      <alignment horizontal="left" vertical="center"/>
    </xf>
    <xf numFmtId="176" fontId="0" fillId="0" borderId="2" xfId="0" applyNumberFormat="1" applyBorder="1" applyAlignment="1">
      <alignment horizontal="left" vertical="center"/>
    </xf>
    <xf numFmtId="176" fontId="0" fillId="0" borderId="3" xfId="0" applyNumberFormat="1" applyBorder="1" applyAlignment="1">
      <alignment horizontal="left" vertical="center"/>
    </xf>
    <xf numFmtId="176" fontId="0" fillId="0" borderId="2" xfId="0" applyNumberForma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176" fontId="0" fillId="0" borderId="2" xfId="0" applyNumberFormat="1" applyBorder="1" applyAlignment="1">
      <alignment horizontal="right" vertical="center"/>
    </xf>
    <xf numFmtId="176" fontId="0" fillId="0" borderId="4" xfId="0" applyNumberFormat="1" applyBorder="1" applyAlignment="1">
      <alignment horizontal="left" vertical="center"/>
    </xf>
    <xf numFmtId="176" fontId="0" fillId="0" borderId="3" xfId="0" applyNumberForma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76" fontId="0" fillId="0" borderId="2" xfId="0" applyNumberFormat="1" applyBorder="1" applyAlignment="1">
      <alignment horizontal="right" vertical="center"/>
    </xf>
    <xf numFmtId="176" fontId="0" fillId="0" borderId="3" xfId="0" applyNumberFormat="1" applyBorder="1" applyAlignment="1">
      <alignment horizontal="left" vertical="center"/>
    </xf>
    <xf numFmtId="176" fontId="0" fillId="0" borderId="2" xfId="0" applyNumberFormat="1" applyBorder="1" applyAlignment="1">
      <alignment horizontal="right" vertical="center"/>
    </xf>
    <xf numFmtId="176" fontId="0" fillId="0" borderId="3" xfId="0" applyNumberFormat="1" applyBorder="1" applyAlignment="1">
      <alignment horizontal="left" vertical="center"/>
    </xf>
    <xf numFmtId="176" fontId="0" fillId="0" borderId="4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76" fontId="0" fillId="0" borderId="5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76" fontId="0" fillId="0" borderId="2" xfId="0" applyNumberFormat="1" applyBorder="1" applyAlignment="1">
      <alignment horizontal="right" vertical="center"/>
    </xf>
    <xf numFmtId="176" fontId="0" fillId="0" borderId="5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right" vertical="center"/>
    </xf>
    <xf numFmtId="176" fontId="0" fillId="0" borderId="7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0" fillId="0" borderId="8" xfId="0" applyNumberFormat="1" applyBorder="1" applyAlignment="1">
      <alignment horizontal="left" vertical="center"/>
    </xf>
    <xf numFmtId="176" fontId="0" fillId="0" borderId="2" xfId="0" applyNumberFormat="1" applyBorder="1" applyAlignment="1">
      <alignment horizontal="left" vertical="center" wrapText="1"/>
    </xf>
    <xf numFmtId="176" fontId="0" fillId="0" borderId="4" xfId="0" applyNumberFormat="1" applyBorder="1" applyAlignment="1">
      <alignment horizontal="left" vertical="center" wrapText="1"/>
    </xf>
    <xf numFmtId="176" fontId="0" fillId="0" borderId="2" xfId="0" applyNumberFormat="1" applyBorder="1" applyAlignment="1" quotePrefix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tabSelected="1" workbookViewId="0">
      <selection activeCell="E32" sqref="E32"/>
    </sheetView>
  </sheetViews>
  <sheetFormatPr defaultColWidth="8.88888888888889" defaultRowHeight="14.4"/>
  <cols>
    <col min="1" max="1" width="13.8888888888889" style="1" customWidth="1"/>
    <col min="2" max="2" width="45.8888888888889" style="1" customWidth="1"/>
    <col min="3" max="3" width="21.8888888888889" style="1" customWidth="1"/>
    <col min="4" max="4" width="12.7777777777778" style="2" customWidth="1"/>
    <col min="5" max="5" width="16.5555555555556" style="3" customWidth="1"/>
    <col min="6" max="6" width="11.6666666666667" style="3" customWidth="1"/>
    <col min="7" max="7" width="11.6666666666667" style="1" customWidth="1"/>
  </cols>
  <sheetData>
    <row r="1" spans="1:13">
      <c r="D1" s="3"/>
      <c r="I1" s="4" t="s">
        <v>0</v>
      </c>
      <c r="J1" s="4"/>
      <c r="K1" s="4"/>
      <c r="L1" s="5"/>
      <c r="M1" s="5"/>
    </row>
    <row r="2" spans="1:13">
      <c r="D2" s="3"/>
      <c r="I2" s="4" t="s">
        <v>1</v>
      </c>
      <c r="J2" s="4" t="s">
        <v>2</v>
      </c>
      <c r="K2" s="4" t="s">
        <v>3</v>
      </c>
      <c r="L2" s="5" t="s">
        <v>4</v>
      </c>
      <c r="M2" s="5" t="s">
        <v>5</v>
      </c>
    </row>
    <row r="3" spans="1:13">
      <c r="D3" s="3"/>
      <c r="I3" s="4">
        <v>2000</v>
      </c>
      <c r="J3" s="4">
        <v>2000</v>
      </c>
      <c r="K3" s="4">
        <v>1500</v>
      </c>
      <c r="L3" s="5">
        <v>1000</v>
      </c>
      <c r="M3" s="5">
        <v>100</v>
      </c>
    </row>
    <row r="4" spans="1:13">
      <c r="D4" s="3"/>
    </row>
    <row r="5" spans="1:13">
      <c r="A5" s="6" t="s">
        <v>6</v>
      </c>
      <c r="B5" s="6" t="s">
        <v>7</v>
      </c>
      <c r="C5" s="6" t="s">
        <v>8</v>
      </c>
      <c r="D5" s="7" t="s">
        <v>9</v>
      </c>
      <c r="E5" s="8"/>
      <c r="F5" s="9" t="s">
        <v>10</v>
      </c>
      <c r="G5" s="10"/>
    </row>
    <row r="6" spans="1:13">
      <c r="A6" s="11" t="s">
        <v>11</v>
      </c>
      <c r="B6" s="12" t="s">
        <v>12</v>
      </c>
      <c r="C6" s="13" t="s">
        <v>1</v>
      </c>
      <c r="D6" s="14">
        <f>SQRT($J$3)*2</f>
        <v>89.4427190999916</v>
      </c>
      <c r="E6" s="15" t="s">
        <v>13</v>
      </c>
      <c r="F6" s="16">
        <v>0</v>
      </c>
      <c r="G6" s="17"/>
    </row>
    <row r="7" spans="1:13">
      <c r="A7" s="11"/>
      <c r="B7" s="11"/>
      <c r="C7" s="13" t="s">
        <v>2</v>
      </c>
      <c r="D7" s="14">
        <f>SQRT($I$3)*2</f>
        <v>89.4427190999916</v>
      </c>
      <c r="E7" s="15" t="s">
        <v>13</v>
      </c>
      <c r="F7" s="16">
        <v>0</v>
      </c>
      <c r="G7" s="17"/>
    </row>
    <row r="8" spans="1:13">
      <c r="A8" s="11"/>
      <c r="B8" s="11"/>
      <c r="C8" s="13" t="s">
        <v>3</v>
      </c>
      <c r="D8" s="14">
        <f>SQRT($K$3)*2</f>
        <v>77.4596669241483</v>
      </c>
      <c r="E8" s="15" t="s">
        <v>13</v>
      </c>
      <c r="F8" s="16">
        <v>0</v>
      </c>
      <c r="G8" s="17"/>
    </row>
    <row r="9" spans="1:13">
      <c r="A9" s="11"/>
      <c r="B9" s="11"/>
      <c r="C9" s="13" t="s">
        <v>5</v>
      </c>
      <c r="D9" s="14">
        <f>SQRT($M$3)*2</f>
        <v>20</v>
      </c>
      <c r="E9" s="15" t="s">
        <v>13</v>
      </c>
      <c r="F9" s="16">
        <v>0</v>
      </c>
      <c r="G9" s="17"/>
    </row>
    <row r="10" spans="1:13">
      <c r="A10" s="11" t="s">
        <v>14</v>
      </c>
      <c r="B10" s="12" t="s">
        <v>15</v>
      </c>
      <c r="C10" s="13" t="s">
        <v>1</v>
      </c>
      <c r="D10" s="14">
        <f>SQRT($J$3)</f>
        <v>44.7213595499958</v>
      </c>
      <c r="E10" s="15" t="s">
        <v>13</v>
      </c>
      <c r="F10" s="16">
        <v>0</v>
      </c>
      <c r="G10" s="17"/>
    </row>
    <row r="11" spans="1:13">
      <c r="A11" s="11"/>
      <c r="B11" s="12"/>
      <c r="C11" s="13" t="s">
        <v>2</v>
      </c>
      <c r="D11" s="14">
        <f>SQRT($I$3)</f>
        <v>44.7213595499958</v>
      </c>
      <c r="E11" s="15" t="s">
        <v>13</v>
      </c>
      <c r="F11" s="16">
        <v>0</v>
      </c>
      <c r="G11" s="17"/>
    </row>
    <row r="12" spans="1:13">
      <c r="A12" s="11"/>
      <c r="B12" s="12"/>
      <c r="C12" s="13" t="s">
        <v>3</v>
      </c>
      <c r="D12" s="14">
        <f>SQRT($K$3)</f>
        <v>38.7298334620742</v>
      </c>
      <c r="E12" s="15" t="s">
        <v>13</v>
      </c>
      <c r="F12" s="16">
        <v>0</v>
      </c>
      <c r="G12" s="17"/>
    </row>
    <row r="13" spans="1:13">
      <c r="A13" s="11"/>
      <c r="B13" s="12"/>
      <c r="C13" s="13" t="s">
        <v>5</v>
      </c>
      <c r="D13" s="14">
        <f>SQRT($M$3)</f>
        <v>10</v>
      </c>
      <c r="E13" s="15" t="s">
        <v>13</v>
      </c>
      <c r="F13" s="16">
        <v>0</v>
      </c>
      <c r="G13" s="17"/>
    </row>
    <row r="14" spans="1:13">
      <c r="A14" s="11" t="s">
        <v>16</v>
      </c>
      <c r="B14" s="12" t="s">
        <v>17</v>
      </c>
      <c r="C14" s="13" t="s">
        <v>1</v>
      </c>
      <c r="D14" s="14">
        <f>SQRT($J$3)</f>
        <v>44.7213595499958</v>
      </c>
      <c r="E14" s="15" t="s">
        <v>13</v>
      </c>
      <c r="F14" s="16">
        <v>0</v>
      </c>
      <c r="G14" s="17"/>
    </row>
    <row r="15" spans="1:13">
      <c r="A15" s="11"/>
      <c r="B15" s="11"/>
      <c r="C15" s="13" t="s">
        <v>2</v>
      </c>
      <c r="D15" s="14">
        <f>SQRT($I$3)</f>
        <v>44.7213595499958</v>
      </c>
      <c r="E15" s="15" t="s">
        <v>13</v>
      </c>
      <c r="F15" s="16">
        <v>0</v>
      </c>
      <c r="G15" s="17"/>
    </row>
    <row r="16" spans="1:13">
      <c r="A16" s="11"/>
      <c r="B16" s="11"/>
      <c r="C16" s="13" t="s">
        <v>3</v>
      </c>
      <c r="D16" s="14">
        <f>SQRT($K$3)</f>
        <v>38.7298334620742</v>
      </c>
      <c r="E16" s="15" t="s">
        <v>13</v>
      </c>
      <c r="F16" s="16">
        <v>0</v>
      </c>
      <c r="G16" s="17"/>
    </row>
    <row r="17" spans="1:7">
      <c r="A17" s="11"/>
      <c r="B17" s="11"/>
      <c r="C17" s="13" t="s">
        <v>5</v>
      </c>
      <c r="D17" s="14">
        <f>SQRT($M$3)</f>
        <v>10</v>
      </c>
      <c r="E17" s="15" t="s">
        <v>13</v>
      </c>
      <c r="F17" s="16">
        <v>0</v>
      </c>
      <c r="G17" s="17"/>
    </row>
    <row r="18" ht="28.8" spans="1:7">
      <c r="A18" s="6" t="s">
        <v>18</v>
      </c>
      <c r="B18" s="18" t="s">
        <v>19</v>
      </c>
      <c r="C18" s="13" t="s">
        <v>1</v>
      </c>
      <c r="D18" s="19">
        <v>15</v>
      </c>
      <c r="E18" s="15" t="s">
        <v>13</v>
      </c>
      <c r="F18" s="20">
        <v>0</v>
      </c>
      <c r="G18" s="17"/>
    </row>
    <row r="19" ht="43.2" spans="1:7">
      <c r="A19" s="6" t="s">
        <v>20</v>
      </c>
      <c r="B19" s="18" t="s">
        <v>21</v>
      </c>
      <c r="C19" s="13" t="s">
        <v>5</v>
      </c>
      <c r="D19" s="19">
        <f>MIN(SQRT(M3),15)</f>
        <v>10</v>
      </c>
      <c r="E19" s="15" t="s">
        <v>13</v>
      </c>
      <c r="F19" s="20">
        <f>SQRT($M$3)</f>
        <v>10</v>
      </c>
      <c r="G19" s="15" t="s">
        <v>13</v>
      </c>
    </row>
    <row r="20" ht="57.6" spans="1:7">
      <c r="A20" s="6" t="s">
        <v>22</v>
      </c>
      <c r="B20" s="18" t="s">
        <v>23</v>
      </c>
      <c r="C20" s="13" t="s">
        <v>2</v>
      </c>
      <c r="D20" s="19">
        <v>5</v>
      </c>
      <c r="E20" s="15" t="s">
        <v>13</v>
      </c>
      <c r="F20" s="20">
        <v>0</v>
      </c>
      <c r="G20" s="10"/>
    </row>
    <row r="21" ht="57.6" spans="1:7">
      <c r="A21" s="6" t="s">
        <v>24</v>
      </c>
      <c r="B21" s="18" t="s">
        <v>25</v>
      </c>
      <c r="C21" s="13" t="s">
        <v>2</v>
      </c>
      <c r="D21" s="21">
        <v>15</v>
      </c>
      <c r="E21" s="15" t="s">
        <v>13</v>
      </c>
      <c r="F21" s="20">
        <v>0</v>
      </c>
      <c r="G21" s="10"/>
    </row>
    <row r="22" ht="86.4" spans="1:7">
      <c r="A22" s="6" t="s">
        <v>26</v>
      </c>
      <c r="B22" s="18" t="s">
        <v>27</v>
      </c>
      <c r="C22" s="13" t="s">
        <v>28</v>
      </c>
      <c r="D22" s="21">
        <v>5</v>
      </c>
      <c r="E22" s="15" t="s">
        <v>13</v>
      </c>
      <c r="F22" s="20">
        <v>0</v>
      </c>
      <c r="G22" s="10"/>
    </row>
    <row r="23" spans="1:7">
      <c r="A23" s="6" t="s">
        <v>29</v>
      </c>
      <c r="B23" s="6" t="s">
        <v>30</v>
      </c>
      <c r="C23" s="13" t="s">
        <v>2</v>
      </c>
      <c r="D23" s="21">
        <v>15</v>
      </c>
      <c r="E23" s="15" t="s">
        <v>13</v>
      </c>
      <c r="F23" s="22">
        <f>MIN(J3/10,200)</f>
        <v>200</v>
      </c>
      <c r="G23" s="10"/>
    </row>
    <row r="24" ht="28.8" spans="1:7">
      <c r="A24" s="6" t="s">
        <v>31</v>
      </c>
      <c r="B24" s="18" t="s">
        <v>32</v>
      </c>
      <c r="C24" s="13" t="s">
        <v>3</v>
      </c>
      <c r="D24" s="21">
        <v>10</v>
      </c>
      <c r="E24" s="15" t="s">
        <v>13</v>
      </c>
      <c r="F24" s="22">
        <f>MIN(L3/2,300)</f>
        <v>300</v>
      </c>
      <c r="G24" s="10"/>
    </row>
    <row r="25" ht="43.2" spans="1:7">
      <c r="A25" s="6" t="s">
        <v>33</v>
      </c>
      <c r="B25" s="18" t="s">
        <v>34</v>
      </c>
      <c r="C25" s="13" t="s">
        <v>5</v>
      </c>
      <c r="D25" s="21"/>
      <c r="E25" s="15"/>
      <c r="F25" s="22">
        <f>SQRT(M3)*5</f>
        <v>50</v>
      </c>
      <c r="G25" s="10"/>
    </row>
    <row r="26" spans="1:7">
      <c r="A26" s="6" t="s">
        <v>35</v>
      </c>
      <c r="B26" s="6" t="s">
        <v>36</v>
      </c>
      <c r="C26" s="13" t="s">
        <v>37</v>
      </c>
      <c r="D26" s="39" t="s">
        <v>38</v>
      </c>
      <c r="E26" s="23" t="s">
        <v>39</v>
      </c>
      <c r="F26" s="22"/>
      <c r="G26" s="10"/>
    </row>
    <row r="27" spans="1:7">
      <c r="A27" s="6" t="s">
        <v>40</v>
      </c>
      <c r="B27" s="24" t="s">
        <v>41</v>
      </c>
      <c r="C27" s="13" t="s">
        <v>1</v>
      </c>
      <c r="D27" s="14">
        <f>SQRT($I$3)</f>
        <v>44.7213595499958</v>
      </c>
      <c r="E27" s="25"/>
      <c r="F27" s="22"/>
      <c r="G27" s="10"/>
    </row>
    <row r="28" spans="1:7">
      <c r="A28" s="6" t="s">
        <v>42</v>
      </c>
      <c r="B28" s="24"/>
      <c r="C28" s="26" t="s">
        <v>2</v>
      </c>
      <c r="D28" s="27">
        <f>SQRT($J$3)</f>
        <v>44.7213595499958</v>
      </c>
      <c r="E28" s="28"/>
      <c r="F28" s="29"/>
      <c r="G28" s="28"/>
    </row>
    <row r="29" spans="1:7">
      <c r="A29" s="6" t="s">
        <v>43</v>
      </c>
      <c r="B29" s="24"/>
      <c r="C29" s="26"/>
      <c r="D29" s="30"/>
      <c r="E29" s="31"/>
      <c r="F29" s="32"/>
      <c r="G29" s="31"/>
    </row>
    <row r="30" spans="1:7">
      <c r="A30" s="6" t="s">
        <v>44</v>
      </c>
      <c r="B30" s="24"/>
      <c r="C30" s="26"/>
      <c r="D30" s="30"/>
      <c r="E30" s="33"/>
      <c r="F30" s="34"/>
      <c r="G30" s="33"/>
    </row>
    <row r="31" spans="1:7">
      <c r="A31" s="6" t="s">
        <v>45</v>
      </c>
      <c r="B31" s="24"/>
      <c r="C31" s="35" t="s">
        <v>5</v>
      </c>
      <c r="D31" s="21">
        <f>SQRT($M$3)</f>
        <v>10</v>
      </c>
      <c r="E31" s="36"/>
      <c r="F31" s="22"/>
      <c r="G31" s="10"/>
    </row>
    <row r="32" spans="1:7">
      <c r="A32" s="6" t="s">
        <v>46</v>
      </c>
      <c r="B32" s="24"/>
      <c r="C32" s="35"/>
      <c r="D32" s="21">
        <f>SQRT($M$3)/2</f>
        <v>5</v>
      </c>
      <c r="E32" s="23"/>
      <c r="F32" s="22"/>
      <c r="G32" s="10"/>
    </row>
    <row r="33" ht="72" spans="1:7">
      <c r="A33" s="6" t="s">
        <v>47</v>
      </c>
      <c r="B33" s="18" t="s">
        <v>48</v>
      </c>
      <c r="C33" s="13" t="s">
        <v>49</v>
      </c>
      <c r="D33" s="37" t="s">
        <v>50</v>
      </c>
      <c r="E33" s="38" t="s">
        <v>51</v>
      </c>
      <c r="F33" s="22"/>
      <c r="G33" s="10"/>
    </row>
    <row r="34" ht="72" spans="1:7">
      <c r="A34" s="6" t="s">
        <v>52</v>
      </c>
      <c r="B34" s="18" t="s">
        <v>53</v>
      </c>
      <c r="C34" s="13" t="s">
        <v>49</v>
      </c>
      <c r="D34" s="37" t="s">
        <v>54</v>
      </c>
      <c r="E34" s="38" t="s">
        <v>51</v>
      </c>
      <c r="F34" s="22"/>
      <c r="G34" s="10"/>
    </row>
  </sheetData>
  <mergeCells count="13">
    <mergeCell ref="D5:E5"/>
    <mergeCell ref="A6:A9"/>
    <mergeCell ref="A10:A13"/>
    <mergeCell ref="A14:A17"/>
    <mergeCell ref="B6:B9"/>
    <mergeCell ref="B10:B13"/>
    <mergeCell ref="B14:B17"/>
    <mergeCell ref="B27:B32"/>
    <mergeCell ref="C28:C30"/>
    <mergeCell ref="C31:C32"/>
    <mergeCell ref="D28:D30"/>
    <mergeCell ref="E28:E30"/>
    <mergeCell ref="F28:G3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A1" sqref="A1:C15"/>
    </sheetView>
  </sheetViews>
  <sheetFormatPr defaultColWidth="8.88888888888889" defaultRowHeight="14.4" outlineLevelCol="2"/>
  <cols>
    <col min="1" max="1" width="14.1111111111111" customWidth="1"/>
    <col min="2" max="2" width="11.5555555555556" customWidth="1"/>
    <col min="3" max="3" width="10.8888888888889" customWidth="1"/>
  </cols>
  <sheetData>
    <row r="1" spans="1:3">
      <c r="A1" t="s">
        <v>55</v>
      </c>
      <c r="B1" t="s">
        <v>56</v>
      </c>
      <c r="C1" t="s">
        <v>57</v>
      </c>
    </row>
    <row r="2" spans="1:3">
      <c r="A2" t="s">
        <v>58</v>
      </c>
      <c r="B2" t="s">
        <v>59</v>
      </c>
      <c r="C2" t="s">
        <v>60</v>
      </c>
    </row>
    <row r="3" spans="1:3">
      <c r="A3" t="s">
        <v>61</v>
      </c>
      <c r="B3" t="s">
        <v>62</v>
      </c>
    </row>
    <row r="4" spans="1:3">
      <c r="A4" t="s">
        <v>63</v>
      </c>
      <c r="B4" t="s">
        <v>64</v>
      </c>
      <c r="C4" t="s">
        <v>65</v>
      </c>
    </row>
    <row r="5" spans="1:3">
      <c r="A5" t="s">
        <v>66</v>
      </c>
      <c r="B5" t="s">
        <v>67</v>
      </c>
    </row>
    <row r="6" spans="1:3">
      <c r="A6" t="s">
        <v>68</v>
      </c>
      <c r="B6" t="s">
        <v>69</v>
      </c>
      <c r="C6" t="s">
        <v>70</v>
      </c>
    </row>
    <row r="7" spans="1:3">
      <c r="A7" t="s">
        <v>71</v>
      </c>
      <c r="B7" t="s">
        <v>72</v>
      </c>
      <c r="C7" t="s">
        <v>73</v>
      </c>
    </row>
    <row r="8" spans="1:3">
      <c r="A8" t="s">
        <v>74</v>
      </c>
      <c r="B8" t="s">
        <v>75</v>
      </c>
    </row>
    <row r="9" spans="1:3">
      <c r="A9" t="s">
        <v>76</v>
      </c>
      <c r="B9" t="s">
        <v>77</v>
      </c>
    </row>
    <row r="10" spans="1:3">
      <c r="A10" t="s">
        <v>78</v>
      </c>
      <c r="B10" t="s">
        <v>79</v>
      </c>
    </row>
    <row r="11" spans="1:3">
      <c r="A11" t="s">
        <v>80</v>
      </c>
      <c r="B11" t="s">
        <v>79</v>
      </c>
      <c r="C11" t="s">
        <v>81</v>
      </c>
    </row>
    <row r="12" spans="1:3">
      <c r="A12" t="s">
        <v>82</v>
      </c>
      <c r="B12" t="s">
        <v>83</v>
      </c>
    </row>
    <row r="13" spans="1:3">
      <c r="A13" t="s">
        <v>84</v>
      </c>
      <c r="B13" t="s">
        <v>85</v>
      </c>
    </row>
    <row r="14" spans="1:3">
      <c r="A14" t="s">
        <v>86</v>
      </c>
      <c r="B14" t="s">
        <v>85</v>
      </c>
    </row>
    <row r="15" spans="1:3">
      <c r="A15" t="s">
        <v>87</v>
      </c>
      <c r="B15" t="s">
        <v>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悖论引擎</cp:lastModifiedBy>
  <dcterms:created xsi:type="dcterms:W3CDTF">2026-01-10T09:16:42Z</dcterms:created>
  <dcterms:modified xsi:type="dcterms:W3CDTF">2026-01-10T10:56:52Z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EEDF17DDF9844B00ACFE1E43106121F6_11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